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ascond\Desktop\GitHub\ExpenseReportService\templates\"/>
    </mc:Choice>
  </mc:AlternateContent>
  <xr:revisionPtr revIDLastSave="0" documentId="13_ncr:1_{A102FC1D-3E14-4B57-8DF2-12AD6DD2F13F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General" sheetId="2" r:id="rId1"/>
  </sheets>
  <definedNames>
    <definedName name="_xlnm.Print_Area" localSheetId="0">General!$A$1:$M$40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M35" i="2" l="1"/>
  <c r="M34" i="2"/>
  <c r="M33" i="2"/>
  <c r="M32" i="2"/>
  <c r="M31" i="2"/>
  <c r="M30" i="2"/>
  <c r="M29" i="2"/>
  <c r="M28" i="2"/>
  <c r="M27" i="2"/>
  <c r="M26" i="2"/>
  <c r="M25" i="2"/>
  <c r="M24" i="2"/>
  <c r="M23" i="2"/>
  <c r="K36" i="2"/>
  <c r="J36" i="2"/>
  <c r="I36" i="2"/>
  <c r="H36" i="2"/>
  <c r="G36" i="2"/>
  <c r="F36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36" i="2" l="1"/>
</calcChain>
</file>

<file path=xl/sharedStrings.xml><?xml version="1.0" encoding="utf-8"?>
<sst xmlns="http://schemas.openxmlformats.org/spreadsheetml/2006/main" count="62" uniqueCount="53">
  <si>
    <t>MacDonald-Miller Facility Solutions</t>
  </si>
  <si>
    <t>Employee Expense Report</t>
  </si>
  <si>
    <t>Employee Name</t>
  </si>
  <si>
    <t>David Gascon</t>
  </si>
  <si>
    <t>Employee #</t>
  </si>
  <si>
    <t>Date</t>
  </si>
  <si>
    <t>Period Covered</t>
  </si>
  <si>
    <t>Company</t>
  </si>
  <si>
    <t>Department</t>
  </si>
  <si>
    <t>3/13/2026-6/12/2026</t>
  </si>
  <si>
    <t>MMFS</t>
  </si>
  <si>
    <t>86 - Controls Specialist</t>
  </si>
  <si>
    <t>Signature of Employee</t>
  </si>
  <si>
    <t>Approved By (Please Print)</t>
  </si>
  <si>
    <t>Approval Signature &amp; Date</t>
  </si>
  <si>
    <t>DATE</t>
  </si>
  <si>
    <t>DESCRIPTION</t>
  </si>
  <si>
    <t>EDUCA-TION</t>
  </si>
  <si>
    <t>LOCAL ENTER-TAINMENT (Lunches, Games, Coffee etc)</t>
  </si>
  <si>
    <t>VEHICLE EXPENSES (Parking, Repairs, Towing)</t>
  </si>
  <si>
    <t>MISC EXPENSES (Office Supplies, Material etc.)</t>
  </si>
  <si>
    <t>OUT OF TOWN EXPENSES (Loding, Meals, Transportation)</t>
  </si>
  <si>
    <t xml:space="preserve">GL / JOB# &amp; DEPT# </t>
  </si>
  <si>
    <t>TOTAL</t>
  </si>
  <si>
    <t>Project Material</t>
  </si>
  <si>
    <t>86259049-000-95-90</t>
  </si>
  <si>
    <t>Monthly Meeting Doughnutz</t>
  </si>
  <si>
    <t>86259054-000-95-90</t>
  </si>
  <si>
    <t>Project Lunch - Oracle Staff, Ricki, Web, Blaine</t>
  </si>
  <si>
    <t>Project Lunch - Nathan</t>
  </si>
  <si>
    <t>86259065-000-95-90</t>
  </si>
  <si>
    <t>Oracle Server Supplies</t>
  </si>
  <si>
    <t>Project Lunch - Jared</t>
  </si>
  <si>
    <t>Project Lunch - Mike and Eric</t>
  </si>
  <si>
    <t>Project Lunch - Mike</t>
  </si>
  <si>
    <t>Project Lunch - Wes and Joe</t>
  </si>
  <si>
    <t>86261021-000-95-90</t>
  </si>
  <si>
    <t>Project Lunch - Tyler</t>
  </si>
  <si>
    <t>(Totals down and across must balance) TOTALS:</t>
  </si>
  <si>
    <t>GL / JOB # &amp; DEPT #</t>
  </si>
  <si>
    <t xml:space="preserve">                            </t>
  </si>
  <si>
    <t>1. Submit Expense Report within 30 days of business event.</t>
  </si>
  <si>
    <t>EXAMPLE:</t>
  </si>
  <si>
    <t>XX-XX-XXX-XX</t>
  </si>
  <si>
    <t>(G.L.)</t>
  </si>
  <si>
    <t>INSTRUCTIONS:</t>
  </si>
  <si>
    <t>2. List and describe expenses.  Provide proper signatures.</t>
  </si>
  <si>
    <t>7161000-95-8100</t>
  </si>
  <si>
    <t>(JobCosted)</t>
  </si>
  <si>
    <t xml:space="preserve">                             </t>
  </si>
  <si>
    <t>3. Attach receipt or documentation.</t>
  </si>
  <si>
    <t>(Total of all expenses)</t>
  </si>
  <si>
    <t>4. Distribute expense by account (GL #) or job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</si>
</sst>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m/d/yyyy"/>
    <numFmt numFmtId="165" formatCode="mm/dd/yy"/>
    <numFmt numFmtId="166" formatCode="\$#,##0.00"/>
    <numFmt numFmtId="167" formatCode="\$#,##0.00_);[Red]&quot;($&quot;#,##0.00\)"/>
  </numFmts>
  <fonts count="11" x14ac:knownFonts="1">
    <font>
      <sz val="10"/>
      <name val="Arial"/>
    </font>
    <font>
      <sz val="16"/>
      <name val="Arial"/>
      <family val="2"/>
    </font>
    <font>
      <b/>
      <sz val="18"/>
      <name val="Arial Narrow"/>
      <family val="2"/>
    </font>
    <font>
      <sz val="8"/>
      <name val="Arial"/>
      <family val="2"/>
    </font>
    <font>
      <sz val="11"/>
      <name val="Arial"/>
      <family val="2"/>
    </font>
    <font>
      <sz val="7"/>
      <name val="Arial"/>
      <family val="2"/>
    </font>
    <font>
      <sz val="10"/>
      <color rgb="FF424242"/>
      <name val="Roboto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6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double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 style="double">
        <color auto="1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3" fillId="0" borderId="2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horizontal="left"/>
    </xf>
    <xf numFmtId="0" fontId="3" fillId="0" borderId="6" xfId="0" applyFont="1" applyBorder="1"/>
    <xf numFmtId="0" fontId="3" fillId="0" borderId="6" xfId="0" applyFont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0" fontId="3" fillId="0" borderId="7" xfId="0" applyFont="1" applyBorder="1"/>
    <xf numFmtId="164" fontId="3" fillId="2" borderId="8" xfId="0" applyNumberFormat="1" applyFont="1" applyFill="1" applyBorder="1" applyAlignment="1">
      <alignment horizontal="center"/>
    </xf>
    <xf numFmtId="0" fontId="4" fillId="0" borderId="9" xfId="0" applyFont="1" applyBorder="1" applyProtection="1">
      <protection locked="0"/>
    </xf>
    <xf numFmtId="0" fontId="4" fillId="0" borderId="11" xfId="0" applyFont="1" applyBorder="1" applyProtection="1">
      <protection locked="0"/>
    </xf>
    <xf numFmtId="0" fontId="4" fillId="0" borderId="12" xfId="0" applyFont="1" applyBorder="1" applyProtection="1">
      <protection locked="0"/>
    </xf>
    <xf numFmtId="164" fontId="4" fillId="2" borderId="12" xfId="0" applyNumberFormat="1" applyFont="1" applyFill="1" applyBorder="1" applyAlignment="1" applyProtection="1">
      <alignment horizontal="left"/>
      <protection locked="0"/>
    </xf>
    <xf numFmtId="164" fontId="4" fillId="2" borderId="13" xfId="0" applyNumberFormat="1" applyFont="1" applyFill="1" applyBorder="1" applyAlignment="1" applyProtection="1">
      <alignment horizontal="left"/>
      <protection locked="0"/>
    </xf>
    <xf numFmtId="0" fontId="3" fillId="0" borderId="14" xfId="0" applyFont="1" applyBorder="1"/>
    <xf numFmtId="0" fontId="3" fillId="0" borderId="0" xfId="0" applyFont="1"/>
    <xf numFmtId="164" fontId="3" fillId="2" borderId="7" xfId="0" applyNumberFormat="1" applyFont="1" applyFill="1" applyBorder="1" applyAlignment="1">
      <alignment horizontal="left"/>
    </xf>
    <xf numFmtId="164" fontId="3" fillId="2" borderId="0" xfId="0" applyNumberFormat="1" applyFont="1" applyFill="1" applyAlignment="1">
      <alignment horizontal="left"/>
    </xf>
    <xf numFmtId="164" fontId="3" fillId="2" borderId="15" xfId="0" applyNumberFormat="1" applyFont="1" applyFill="1" applyBorder="1" applyAlignment="1">
      <alignment horizontal="left"/>
    </xf>
    <xf numFmtId="0" fontId="4" fillId="0" borderId="16" xfId="0" applyFont="1" applyBorder="1"/>
    <xf numFmtId="0" fontId="4" fillId="0" borderId="1" xfId="0" applyFont="1" applyBorder="1"/>
    <xf numFmtId="0" fontId="4" fillId="0" borderId="17" xfId="0" applyFont="1" applyBorder="1" applyProtection="1">
      <protection locked="0"/>
    </xf>
    <xf numFmtId="0" fontId="4" fillId="0" borderId="1" xfId="0" applyFont="1" applyBorder="1" applyProtection="1">
      <protection locked="0"/>
    </xf>
    <xf numFmtId="0" fontId="4" fillId="0" borderId="18" xfId="0" applyFont="1" applyBorder="1" applyProtection="1">
      <protection locked="0"/>
    </xf>
    <xf numFmtId="166" fontId="8" fillId="0" borderId="23" xfId="0" applyNumberFormat="1" applyFont="1" applyBorder="1" applyAlignment="1" applyProtection="1">
      <alignment vertical="top" wrapText="1"/>
      <protection locked="0"/>
    </xf>
    <xf numFmtId="166" fontId="8" fillId="0" borderId="24" xfId="0" applyNumberFormat="1" applyFont="1" applyBorder="1" applyAlignment="1" applyProtection="1">
      <alignment horizontal="center" vertical="center" wrapText="1"/>
      <protection locked="0"/>
    </xf>
    <xf numFmtId="166" fontId="8" fillId="0" borderId="25" xfId="0" applyNumberFormat="1" applyFont="1" applyBorder="1" applyAlignment="1" applyProtection="1">
      <alignment horizontal="center" vertical="center" wrapText="1"/>
      <protection locked="0"/>
    </xf>
    <xf numFmtId="0" fontId="8" fillId="0" borderId="25" xfId="0" applyFont="1" applyBorder="1" applyAlignment="1" applyProtection="1">
      <alignment horizontal="center" vertical="center" wrapText="1"/>
      <protection locked="0"/>
    </xf>
    <xf numFmtId="166" fontId="8" fillId="0" borderId="27" xfId="0" applyNumberFormat="1" applyFont="1" applyBorder="1" applyAlignment="1">
      <alignment horizontal="center" vertical="center" wrapText="1"/>
    </xf>
    <xf numFmtId="166" fontId="8" fillId="0" borderId="25" xfId="0" applyNumberFormat="1" applyFont="1" applyBorder="1" applyAlignment="1" applyProtection="1">
      <alignment vertical="top" wrapText="1"/>
      <protection locked="0"/>
    </xf>
    <xf numFmtId="166" fontId="8" fillId="0" borderId="31" xfId="0" applyNumberFormat="1" applyFont="1" applyBorder="1" applyAlignment="1" applyProtection="1">
      <alignment vertical="top" wrapText="1"/>
      <protection locked="0"/>
    </xf>
    <xf numFmtId="166" fontId="8" fillId="0" borderId="31" xfId="0" applyNumberFormat="1" applyFont="1" applyBorder="1" applyAlignment="1" applyProtection="1">
      <alignment horizontal="center" vertical="center" wrapText="1"/>
      <protection locked="0"/>
    </xf>
    <xf numFmtId="0" fontId="8" fillId="0" borderId="31" xfId="0" applyFont="1" applyBorder="1" applyAlignment="1" applyProtection="1">
      <alignment horizontal="center" vertical="center" wrapText="1"/>
      <protection locked="0"/>
    </xf>
    <xf numFmtId="166" fontId="7" fillId="0" borderId="31" xfId="0" applyNumberFormat="1" applyFont="1" applyBorder="1" applyAlignment="1">
      <alignment horizontal="center" vertical="center"/>
    </xf>
    <xf numFmtId="166" fontId="7" fillId="0" borderId="32" xfId="0" applyNumberFormat="1" applyFont="1" applyBorder="1" applyAlignment="1">
      <alignment horizontal="center" vertical="center"/>
    </xf>
    <xf numFmtId="166" fontId="7" fillId="0" borderId="33" xfId="0" applyNumberFormat="1" applyFont="1" applyBorder="1" applyAlignment="1">
      <alignment horizontal="center" vertical="center"/>
    </xf>
    <xf numFmtId="166" fontId="7" fillId="0" borderId="35" xfId="0" applyNumberFormat="1" applyFont="1" applyBorder="1" applyAlignment="1">
      <alignment horizontal="center" vertical="center"/>
    </xf>
    <xf numFmtId="0" fontId="8" fillId="0" borderId="36" xfId="0" applyFont="1" applyBorder="1"/>
    <xf numFmtId="0" fontId="3" fillId="0" borderId="0" xfId="0" applyFont="1" applyAlignment="1">
      <alignment horizontal="center"/>
    </xf>
    <xf numFmtId="0" fontId="8" fillId="0" borderId="0" xfId="0" applyFont="1"/>
    <xf numFmtId="0" fontId="8" fillId="2" borderId="37" xfId="0" applyFont="1" applyFill="1" applyBorder="1"/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8" fillId="2" borderId="0" xfId="0" applyFont="1" applyFill="1"/>
    <xf numFmtId="0" fontId="8" fillId="2" borderId="15" xfId="0" applyFont="1" applyFill="1" applyBorder="1" applyAlignment="1">
      <alignment horizontal="center"/>
    </xf>
    <xf numFmtId="0" fontId="9" fillId="0" borderId="14" xfId="0" applyFont="1" applyBorder="1"/>
    <xf numFmtId="167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9" fillId="2" borderId="37" xfId="0" applyFont="1" applyFill="1" applyBorder="1"/>
    <xf numFmtId="0" fontId="8" fillId="2" borderId="15" xfId="0" applyFont="1" applyFill="1" applyBorder="1"/>
    <xf numFmtId="0" fontId="8" fillId="0" borderId="14" xfId="0" applyFont="1" applyBorder="1"/>
    <xf numFmtId="0" fontId="3" fillId="0" borderId="12" xfId="0" applyFont="1" applyBorder="1" applyAlignment="1">
      <alignment horizontal="center"/>
    </xf>
    <xf numFmtId="167" fontId="3" fillId="0" borderId="12" xfId="0" applyNumberFormat="1" applyFont="1" applyBorder="1" applyAlignment="1">
      <alignment horizontal="center"/>
    </xf>
    <xf numFmtId="0" fontId="3" fillId="0" borderId="12" xfId="0" applyFont="1" applyBorder="1" applyAlignment="1">
      <alignment horizontal="left"/>
    </xf>
    <xf numFmtId="0" fontId="8" fillId="0" borderId="16" xfId="0" applyFont="1" applyBorder="1"/>
    <xf numFmtId="0" fontId="3" fillId="0" borderId="1" xfId="0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8" fillId="0" borderId="1" xfId="0" applyFont="1" applyBorder="1"/>
    <xf numFmtId="0" fontId="8" fillId="2" borderId="38" xfId="0" applyFont="1" applyFill="1" applyBorder="1"/>
    <xf numFmtId="0" fontId="8" fillId="2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/>
    </xf>
    <xf numFmtId="0" fontId="8" fillId="2" borderId="18" xfId="0" applyFont="1" applyFill="1" applyBorder="1"/>
    <xf numFmtId="164" fontId="6" fillId="2" borderId="23" xfId="0" applyNumberFormat="1" applyFont="1" applyFill="1" applyBorder="1" applyAlignment="1">
      <alignment horizontal="center" vertical="center" wrapText="1"/>
    </xf>
    <xf numFmtId="164" fontId="8" fillId="0" borderId="23" xfId="0" applyNumberFormat="1" applyFont="1" applyBorder="1" applyAlignment="1" applyProtection="1">
      <alignment horizontal="center" vertical="top" wrapText="1"/>
      <protection locked="0"/>
    </xf>
    <xf numFmtId="165" fontId="8" fillId="0" borderId="9" xfId="0" applyNumberFormat="1" applyFont="1" applyBorder="1" applyAlignment="1" applyProtection="1">
      <alignment horizontal="center" vertical="top" wrapText="1"/>
      <protection locked="0"/>
    </xf>
    <xf numFmtId="165" fontId="8" fillId="0" borderId="29" xfId="0" applyNumberFormat="1" applyFont="1" applyBorder="1" applyAlignment="1" applyProtection="1">
      <alignment horizontal="center" vertical="top" wrapText="1"/>
      <protection locked="0"/>
    </xf>
    <xf numFmtId="0" fontId="3" fillId="0" borderId="44" xfId="0" applyFont="1" applyBorder="1"/>
    <xf numFmtId="0" fontId="4" fillId="0" borderId="10" xfId="0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166" fontId="8" fillId="0" borderId="42" xfId="0" applyNumberFormat="1" applyFont="1" applyBorder="1" applyAlignment="1" applyProtection="1">
      <alignment horizontal="center" vertical="center" wrapText="1"/>
      <protection locked="0"/>
    </xf>
    <xf numFmtId="166" fontId="8" fillId="0" borderId="43" xfId="0" applyNumberFormat="1" applyFont="1" applyBorder="1" applyAlignment="1" applyProtection="1">
      <alignment horizontal="center" vertical="center" wrapText="1"/>
      <protection locked="0"/>
    </xf>
    <xf numFmtId="166" fontId="8" fillId="0" borderId="40" xfId="0" applyNumberFormat="1" applyFont="1" applyBorder="1" applyAlignment="1" applyProtection="1">
      <alignment horizontal="center" vertical="center" wrapText="1"/>
      <protection locked="0"/>
    </xf>
    <xf numFmtId="166" fontId="8" fillId="0" borderId="41" xfId="0" applyNumberFormat="1" applyFont="1" applyBorder="1" applyAlignment="1" applyProtection="1">
      <alignment horizontal="center" vertical="center" wrapText="1"/>
      <protection locked="0"/>
    </xf>
    <xf numFmtId="0" fontId="7" fillId="0" borderId="34" xfId="0" applyFont="1" applyBorder="1" applyAlignment="1">
      <alignment horizontal="center" vertical="center"/>
    </xf>
    <xf numFmtId="166" fontId="8" fillId="0" borderId="26" xfId="0" applyNumberFormat="1" applyFont="1" applyBorder="1" applyAlignment="1" applyProtection="1">
      <alignment horizontal="center" vertical="center" wrapText="1"/>
      <protection locked="0"/>
    </xf>
    <xf numFmtId="166" fontId="8" fillId="0" borderId="39" xfId="0" applyNumberFormat="1" applyFont="1" applyBorder="1" applyAlignment="1" applyProtection="1">
      <alignment horizontal="center" vertical="center" wrapText="1"/>
      <protection locked="0"/>
    </xf>
    <xf numFmtId="164" fontId="8" fillId="0" borderId="28" xfId="0" applyNumberFormat="1" applyFont="1" applyBorder="1" applyAlignment="1" applyProtection="1">
      <alignment horizontal="left" vertical="top" wrapText="1"/>
      <protection locked="0"/>
    </xf>
    <xf numFmtId="164" fontId="8" fillId="0" borderId="30" xfId="0" applyNumberFormat="1" applyFont="1" applyBorder="1" applyAlignment="1" applyProtection="1">
      <alignment horizontal="left" vertical="top" wrapText="1"/>
      <protection locked="0"/>
    </xf>
    <xf numFmtId="49" fontId="7" fillId="0" borderId="23" xfId="0" applyNumberFormat="1" applyFont="1" applyBorder="1" applyAlignment="1">
      <alignment horizontal="center"/>
    </xf>
    <xf numFmtId="164" fontId="8" fillId="0" borderId="23" xfId="0" applyNumberFormat="1" applyFont="1" applyBorder="1" applyAlignment="1" applyProtection="1">
      <alignment horizontal="left" vertical="top" wrapText="1"/>
      <protection locked="0"/>
    </xf>
    <xf numFmtId="0" fontId="6" fillId="0" borderId="23" xfId="0" applyFont="1" applyBorder="1" applyAlignment="1">
      <alignment horizontal="center"/>
    </xf>
    <xf numFmtId="49" fontId="0" fillId="0" borderId="23" xfId="0" applyNumberFormat="1" applyBorder="1" applyAlignment="1">
      <alignment horizontal="center"/>
    </xf>
    <xf numFmtId="0" fontId="5" fillId="0" borderId="21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164" fontId="4" fillId="0" borderId="10" xfId="0" applyNumberFormat="1" applyFont="1" applyBorder="1" applyAlignment="1" applyProtection="1">
      <alignment horizontal="left" shrinkToFit="1"/>
      <protection locked="0"/>
    </xf>
    <xf numFmtId="0" fontId="3" fillId="0" borderId="19" xfId="0" applyFont="1" applyBorder="1" applyAlignment="1">
      <alignment horizontal="center" vertical="center" shrinkToFit="1"/>
    </xf>
    <xf numFmtId="0" fontId="3" fillId="0" borderId="20" xfId="0" applyFont="1" applyBorder="1" applyAlignment="1">
      <alignment horizontal="center" vertical="center" wrapText="1"/>
    </xf>
    <xf numFmtId="0" fontId="4" fillId="0" borderId="17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45" xfId="0" applyFont="1" applyBorder="1" applyAlignment="1" applyProtection="1">
      <alignment horizontal="center"/>
      <protection locked="0"/>
    </xf>
    <xf numFmtId="0" fontId="4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242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 macro="" textlink="">
          <xdr:nvSpPr>
            <xdr:cNvPr id="1001" name="Check Box 1" descr="Check Box 1" hidden="1">
              <a:extLst>
                <a:ext uri="{63B3BB69-23CF-44E3-9099-C40C66FF867C}">
                  <a14:compatExt spid="_x0000_s1001"/>
                </a:ext>
                <a:ext uri="{FF2B5EF4-FFF2-40B4-BE49-F238E27FC236}">
                  <a16:creationId xmlns:a16="http://schemas.microsoft.com/office/drawing/2014/main" id="{00000000-0008-0000-0000-0000E903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91440" tIns="45720" rIns="91440" bIns="45720" anchor="ctr" upright="1"/>
            <a:lstStyle/>
            <a:p>
              <a:pPr algn="l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Credit Card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 macro="" textlink="">
          <xdr:nvSpPr>
            <xdr:cNvPr id="1002" name="Check Box 2" descr="Check Box 2" hidden="1">
              <a:extLst>
                <a:ext uri="{63B3BB69-23CF-44E3-9099-C40C66FF867C}">
                  <a14:compatExt spid="_x0000_s1002"/>
                </a:ext>
                <a:ext uri="{FF2B5EF4-FFF2-40B4-BE49-F238E27FC236}">
                  <a16:creationId xmlns:a16="http://schemas.microsoft.com/office/drawing/2014/main" id="{00000000-0008-0000-0000-0000EA03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91440" tIns="45720" rIns="91440" bIns="45720" anchor="ctr" upright="1"/>
            <a:lstStyle/>
            <a:p>
              <a:pPr algn="l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Reimburse 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41"/>
  <sheetViews>
    <sheetView showGridLines="0" tabSelected="1" zoomScale="115" zoomScaleNormal="115" workbookViewId="0">
      <selection activeCell="A2" sqref="A2"/>
    </sheetView>
  </sheetViews>
  <sheetFormatPr defaultColWidth="9" defaultRowHeight="12.75" x14ac:dyDescent="0.2"/>
  <cols>
    <col min="1" max="1" width="15.140625" customWidth="1"/>
    <col min="2" max="2" width="18.28515625" customWidth="1"/>
    <col min="3" max="3" width="13.5703125" customWidth="1"/>
    <col min="4" max="4" width="13.42578125" customWidth="1"/>
    <col min="5" max="5" width="10.85546875" customWidth="1"/>
    <col min="6" max="6" width="8" customWidth="1"/>
    <col min="7" max="7" width="10.42578125" customWidth="1"/>
    <col min="8" max="8" width="10.140625" customWidth="1"/>
    <col min="9" max="9" width="10.28515625" customWidth="1"/>
    <col min="10" max="10" width="10.7109375" customWidth="1"/>
    <col min="11" max="11" width="4.7109375" hidden="1" customWidth="1"/>
    <col min="12" max="12" width="22.85546875" customWidth="1"/>
    <col min="13" max="13" width="9.28515625" customWidth="1"/>
  </cols>
  <sheetData>
    <row r="1" spans="1:13" ht="36" customHeight="1" thickBot="1" x14ac:dyDescent="0.4">
      <c r="A1" s="1" t="s">
        <v>0</v>
      </c>
      <c r="B1" s="2"/>
      <c r="C1" s="2"/>
      <c r="D1" s="2"/>
      <c r="E1" s="3"/>
      <c r="F1" s="3"/>
      <c r="G1" s="3"/>
      <c r="H1" s="4"/>
      <c r="I1" s="3"/>
      <c r="J1" s="3"/>
      <c r="K1" s="4"/>
      <c r="L1" s="3"/>
      <c r="M1" s="5" t="s">
        <v>1</v>
      </c>
    </row>
    <row r="2" spans="1:13" ht="14.25" thickTop="1" thickBot="1" x14ac:dyDescent="0.25">
      <c r="A2" s="6" t="s">
        <v>2</v>
      </c>
      <c r="B2" s="99" t="s">
        <v>3</v>
      </c>
      <c r="C2" s="99"/>
      <c r="D2" s="7" t="s">
        <v>4</v>
      </c>
      <c r="E2" s="8" t="s">
        <v>5</v>
      </c>
      <c r="F2" s="9" t="s">
        <v>6</v>
      </c>
      <c r="G2" s="10"/>
      <c r="H2" s="8" t="s">
        <v>7</v>
      </c>
      <c r="I2" s="11"/>
      <c r="J2" s="12"/>
      <c r="K2" s="13" t="s">
        <v>8</v>
      </c>
      <c r="L2" s="12"/>
      <c r="M2" s="14"/>
    </row>
    <row r="3" spans="1:13" ht="15" thickTop="1" x14ac:dyDescent="0.2">
      <c r="A3" s="15"/>
      <c r="B3" s="99"/>
      <c r="C3" s="99"/>
      <c r="D3" s="75">
        <v>6288</v>
      </c>
      <c r="E3" s="76">
        <v>46185</v>
      </c>
      <c r="F3" s="93" t="s">
        <v>9</v>
      </c>
      <c r="G3" s="93"/>
      <c r="H3" s="16" t="s">
        <v>10</v>
      </c>
      <c r="I3" s="17"/>
      <c r="J3" s="18"/>
      <c r="K3" s="16" t="s">
        <v>11</v>
      </c>
      <c r="L3" s="17"/>
      <c r="M3" s="19"/>
    </row>
    <row r="4" spans="1:13" x14ac:dyDescent="0.2">
      <c r="A4" s="20" t="s">
        <v>12</v>
      </c>
      <c r="B4" s="21"/>
      <c r="C4" s="21"/>
      <c r="D4" s="21"/>
      <c r="E4" s="21"/>
      <c r="F4" s="13" t="s">
        <v>13</v>
      </c>
      <c r="G4" s="74"/>
      <c r="H4" s="21"/>
      <c r="I4" s="22" t="s">
        <v>14</v>
      </c>
      <c r="J4" s="23"/>
      <c r="K4" s="23"/>
      <c r="L4" s="23"/>
      <c r="M4" s="24"/>
    </row>
    <row r="5" spans="1:13" ht="15" thickBot="1" x14ac:dyDescent="0.25">
      <c r="A5" s="25"/>
      <c r="B5" s="26"/>
      <c r="C5" s="26"/>
      <c r="D5" s="26"/>
      <c r="E5" s="26"/>
      <c r="F5" s="96"/>
      <c r="G5" s="97"/>
      <c r="H5" s="98"/>
      <c r="I5" s="27"/>
      <c r="J5" s="28"/>
      <c r="K5" s="28"/>
      <c r="L5" s="28"/>
      <c r="M5" s="29"/>
    </row>
    <row r="6" spans="1:13" ht="13.5" customHeight="1" thickTop="1" thickBot="1" x14ac:dyDescent="0.25">
      <c r="A6" s="94" t="s">
        <v>15</v>
      </c>
      <c r="B6" s="95" t="s">
        <v>16</v>
      </c>
      <c r="C6" s="95"/>
      <c r="D6" s="95"/>
      <c r="E6" s="95"/>
      <c r="F6" s="95" t="s">
        <v>17</v>
      </c>
      <c r="G6" s="90" t="s">
        <v>18</v>
      </c>
      <c r="H6" s="90" t="s">
        <v>19</v>
      </c>
      <c r="I6" s="90" t="s">
        <v>20</v>
      </c>
      <c r="J6" s="90" t="s">
        <v>21</v>
      </c>
      <c r="K6" s="90"/>
      <c r="L6" s="91" t="s">
        <v>22</v>
      </c>
      <c r="M6" s="92" t="s">
        <v>23</v>
      </c>
    </row>
    <row r="7" spans="1:13" ht="14.25" thickTop="1" thickBot="1" x14ac:dyDescent="0.25">
      <c r="A7" s="94"/>
      <c r="B7" s="95"/>
      <c r="C7" s="95"/>
      <c r="D7" s="95"/>
      <c r="E7" s="95"/>
      <c r="F7" s="95"/>
      <c r="G7" s="90"/>
      <c r="H7" s="90"/>
      <c r="I7" s="90"/>
      <c r="J7" s="90"/>
      <c r="K7" s="90"/>
      <c r="L7" s="91"/>
      <c r="M7" s="92"/>
    </row>
    <row r="8" spans="1:13" ht="12.75" customHeight="1" thickTop="1" thickBot="1" x14ac:dyDescent="0.25">
      <c r="A8" s="94"/>
      <c r="B8" s="95"/>
      <c r="C8" s="95"/>
      <c r="D8" s="95"/>
      <c r="E8" s="95"/>
      <c r="F8" s="95"/>
      <c r="G8" s="90"/>
      <c r="H8" s="90"/>
      <c r="I8" s="90"/>
      <c r="J8" s="90"/>
      <c r="K8" s="90"/>
      <c r="L8" s="91"/>
      <c r="M8" s="92"/>
    </row>
    <row r="9" spans="1:13" ht="18" customHeight="1" thickTop="1" thickBot="1" x14ac:dyDescent="0.25">
      <c r="A9" s="94"/>
      <c r="B9" s="95"/>
      <c r="C9" s="95"/>
      <c r="D9" s="95"/>
      <c r="E9" s="95"/>
      <c r="F9" s="95"/>
      <c r="G9" s="90"/>
      <c r="H9" s="90"/>
      <c r="I9" s="90"/>
      <c r="J9" s="90"/>
      <c r="K9" s="90"/>
      <c r="L9" s="91"/>
      <c r="M9" s="92"/>
    </row>
    <row r="10" spans="1:13" ht="27" customHeight="1" thickTop="1" x14ac:dyDescent="0.2">
      <c r="A10" s="70">
        <v>46094.482615740701</v>
      </c>
      <c r="B10" s="86" t="s">
        <v>24</v>
      </c>
      <c r="C10" s="86"/>
      <c r="D10" s="86"/>
      <c r="E10" s="86"/>
      <c r="F10" s="30"/>
      <c r="G10" s="31"/>
      <c r="H10" s="32"/>
      <c r="I10" s="32">
        <v>239.98</v>
      </c>
      <c r="J10" s="82"/>
      <c r="K10" s="83"/>
      <c r="L10" s="33" t="s">
        <v>25</v>
      </c>
      <c r="M10" s="34">
        <f t="shared" ref="M10:M35" si="0">IF(SUM(F10:K10)&gt;0,SUM(F10:K10),"")</f>
        <v>239.98</v>
      </c>
    </row>
    <row r="11" spans="1:13" ht="26.25" customHeight="1" x14ac:dyDescent="0.2">
      <c r="A11" s="70">
        <v>46119.330486111103</v>
      </c>
      <c r="B11" s="86" t="s">
        <v>26</v>
      </c>
      <c r="C11" s="86"/>
      <c r="D11" s="86"/>
      <c r="E11" s="86"/>
      <c r="F11" s="30"/>
      <c r="G11" s="31">
        <v>35.1</v>
      </c>
      <c r="H11" s="32"/>
      <c r="I11" s="32"/>
      <c r="J11" s="79"/>
      <c r="K11" s="80"/>
      <c r="L11" s="33" t="s">
        <v>27</v>
      </c>
      <c r="M11" s="34">
        <f t="shared" si="0"/>
        <v>35.1</v>
      </c>
    </row>
    <row r="12" spans="1:13" x14ac:dyDescent="0.2">
      <c r="A12" s="70">
        <v>46129.313067129602</v>
      </c>
      <c r="B12" s="86" t="s">
        <v>28</v>
      </c>
      <c r="C12" s="86"/>
      <c r="D12" s="86"/>
      <c r="E12" s="86"/>
      <c r="F12" s="30"/>
      <c r="G12" s="31">
        <v>28.98</v>
      </c>
      <c r="H12" s="32"/>
      <c r="I12" s="32"/>
      <c r="J12" s="79"/>
      <c r="K12" s="80"/>
      <c r="L12" s="33" t="s">
        <v>25</v>
      </c>
      <c r="M12" s="34">
        <f t="shared" si="0"/>
        <v>28.98</v>
      </c>
    </row>
    <row r="13" spans="1:13" ht="24.75" customHeight="1" x14ac:dyDescent="0.2">
      <c r="A13" s="70">
        <v>46132.458703703698</v>
      </c>
      <c r="B13" s="86" t="s">
        <v>29</v>
      </c>
      <c r="C13" s="86"/>
      <c r="D13" s="86"/>
      <c r="E13" s="86"/>
      <c r="F13" s="30"/>
      <c r="G13" s="31">
        <v>34.880000000000003</v>
      </c>
      <c r="H13" s="32"/>
      <c r="I13" s="32"/>
      <c r="J13" s="79"/>
      <c r="K13" s="80"/>
      <c r="L13" s="33" t="s">
        <v>30</v>
      </c>
      <c r="M13" s="34">
        <f t="shared" si="0"/>
        <v>34.880000000000003</v>
      </c>
    </row>
    <row r="14" spans="1:13" x14ac:dyDescent="0.2">
      <c r="A14" s="70">
        <v>46132.512962963003</v>
      </c>
      <c r="B14" s="86" t="s">
        <v>31</v>
      </c>
      <c r="C14" s="86"/>
      <c r="D14" s="86"/>
      <c r="E14" s="86"/>
      <c r="F14" s="30"/>
      <c r="G14" s="31">
        <v>24.99</v>
      </c>
      <c r="H14" s="32"/>
      <c r="I14" s="32"/>
      <c r="J14" s="79"/>
      <c r="K14" s="80"/>
      <c r="L14" s="33" t="s">
        <v>30</v>
      </c>
      <c r="M14" s="34">
        <f t="shared" si="0"/>
        <v>24.99</v>
      </c>
    </row>
    <row r="15" spans="1:13" ht="24.75" customHeight="1" x14ac:dyDescent="0.2">
      <c r="A15" s="70">
        <v>46133.5090277778</v>
      </c>
      <c r="B15" s="86" t="s">
        <v>32</v>
      </c>
      <c r="C15" s="86"/>
      <c r="D15" s="86"/>
      <c r="E15" s="86"/>
      <c r="F15" s="30"/>
      <c r="G15" s="31">
        <v>60.95</v>
      </c>
      <c r="H15" s="32"/>
      <c r="I15" s="32"/>
      <c r="J15" s="79"/>
      <c r="K15" s="80"/>
      <c r="L15" s="33" t="s">
        <v>30</v>
      </c>
      <c r="M15" s="34">
        <f t="shared" si="0"/>
        <v>60.95</v>
      </c>
    </row>
    <row r="16" spans="1:13" x14ac:dyDescent="0.2">
      <c r="A16" s="70">
        <v>46149.514965277798</v>
      </c>
      <c r="B16" s="86" t="s">
        <v>33</v>
      </c>
      <c r="C16" s="86"/>
      <c r="D16" s="86"/>
      <c r="E16" s="86"/>
      <c r="F16" s="30"/>
      <c r="G16" s="31">
        <v>60.63</v>
      </c>
      <c r="H16" s="32"/>
      <c r="I16" s="32"/>
      <c r="J16" s="79"/>
      <c r="K16" s="80"/>
      <c r="L16" s="33" t="s">
        <v>27</v>
      </c>
      <c r="M16" s="34">
        <f t="shared" si="0"/>
        <v>60.63</v>
      </c>
    </row>
    <row r="17" spans="1:13" x14ac:dyDescent="0.2">
      <c r="A17" s="70">
        <v>46156.383773148198</v>
      </c>
      <c r="B17" s="86" t="s">
        <v>34</v>
      </c>
      <c r="C17" s="86"/>
      <c r="D17" s="86"/>
      <c r="E17" s="86"/>
      <c r="F17" s="30"/>
      <c r="G17" s="31">
        <v>54.9</v>
      </c>
      <c r="H17" s="32"/>
      <c r="I17" s="32"/>
      <c r="J17" s="79"/>
      <c r="K17" s="80"/>
      <c r="L17" s="33" t="s">
        <v>27</v>
      </c>
      <c r="M17" s="34">
        <f t="shared" si="0"/>
        <v>54.9</v>
      </c>
    </row>
    <row r="18" spans="1:13" x14ac:dyDescent="0.2">
      <c r="A18" s="70">
        <v>46181.498541666697</v>
      </c>
      <c r="B18" s="86" t="s">
        <v>35</v>
      </c>
      <c r="C18" s="86"/>
      <c r="D18" s="86"/>
      <c r="E18" s="86"/>
      <c r="F18" s="30"/>
      <c r="G18" s="31">
        <v>56.92</v>
      </c>
      <c r="H18" s="32"/>
      <c r="I18" s="32"/>
      <c r="J18" s="79"/>
      <c r="K18" s="80"/>
      <c r="L18" s="33" t="s">
        <v>36</v>
      </c>
      <c r="M18" s="34">
        <f t="shared" si="0"/>
        <v>56.92</v>
      </c>
    </row>
    <row r="19" spans="1:13" x14ac:dyDescent="0.2">
      <c r="A19" s="70">
        <v>46183.4688888889</v>
      </c>
      <c r="B19" s="88" t="s">
        <v>37</v>
      </c>
      <c r="C19" s="88"/>
      <c r="D19" s="88"/>
      <c r="E19" s="88"/>
      <c r="F19" s="30"/>
      <c r="G19" s="31">
        <v>36</v>
      </c>
      <c r="H19" s="32"/>
      <c r="I19" s="32"/>
      <c r="J19" s="79"/>
      <c r="K19" s="80"/>
      <c r="L19" s="33" t="s">
        <v>27</v>
      </c>
      <c r="M19" s="34">
        <f t="shared" si="0"/>
        <v>36</v>
      </c>
    </row>
    <row r="20" spans="1:13" ht="26.25" customHeight="1" x14ac:dyDescent="0.2">
      <c r="A20" s="70"/>
      <c r="B20" s="89"/>
      <c r="C20" s="89"/>
      <c r="D20" s="89"/>
      <c r="E20" s="89"/>
      <c r="F20" s="30"/>
      <c r="G20" s="31"/>
      <c r="H20" s="32"/>
      <c r="I20" s="32"/>
      <c r="J20" s="79"/>
      <c r="K20" s="80"/>
      <c r="L20" s="33"/>
      <c r="M20" s="34" t="str">
        <f t="shared" si="0"/>
        <v/>
      </c>
    </row>
    <row r="21" spans="1:13" x14ac:dyDescent="0.2">
      <c r="A21" s="70"/>
      <c r="B21" s="86"/>
      <c r="C21" s="86"/>
      <c r="D21" s="86"/>
      <c r="E21" s="86"/>
      <c r="F21" s="30"/>
      <c r="G21" s="31"/>
      <c r="H21" s="32"/>
      <c r="I21" s="32"/>
      <c r="J21" s="79"/>
      <c r="K21" s="80"/>
      <c r="L21" s="33"/>
      <c r="M21" s="34" t="str">
        <f t="shared" si="0"/>
        <v/>
      </c>
    </row>
    <row r="22" spans="1:13" x14ac:dyDescent="0.2">
      <c r="A22" s="70"/>
      <c r="B22" s="86"/>
      <c r="C22" s="86"/>
      <c r="D22" s="86"/>
      <c r="E22" s="86"/>
      <c r="F22" s="30"/>
      <c r="G22" s="31"/>
      <c r="H22" s="32"/>
      <c r="I22" s="32"/>
      <c r="J22" s="79"/>
      <c r="K22" s="80"/>
      <c r="L22" s="33"/>
      <c r="M22" s="34" t="str">
        <f t="shared" si="0"/>
        <v/>
      </c>
    </row>
    <row r="23" spans="1:13" ht="39" customHeight="1" x14ac:dyDescent="0.2">
      <c r="A23" s="70"/>
      <c r="B23" s="86"/>
      <c r="C23" s="86"/>
      <c r="D23" s="86"/>
      <c r="E23" s="86"/>
      <c r="F23" s="30"/>
      <c r="G23" s="31"/>
      <c r="H23" s="32"/>
      <c r="I23" s="32"/>
      <c r="J23" s="79"/>
      <c r="K23" s="80"/>
      <c r="L23" s="33"/>
      <c r="M23" s="34" t="str">
        <f t="shared" si="0"/>
        <v/>
      </c>
    </row>
    <row r="24" spans="1:13" x14ac:dyDescent="0.2">
      <c r="A24" s="70"/>
      <c r="B24" s="86"/>
      <c r="C24" s="86"/>
      <c r="D24" s="86"/>
      <c r="E24" s="86"/>
      <c r="F24" s="30"/>
      <c r="G24" s="32"/>
      <c r="H24" s="32"/>
      <c r="I24" s="31"/>
      <c r="J24" s="79"/>
      <c r="K24" s="80"/>
      <c r="L24" s="33"/>
      <c r="M24" s="34" t="str">
        <f t="shared" si="0"/>
        <v/>
      </c>
    </row>
    <row r="25" spans="1:13" x14ac:dyDescent="0.2">
      <c r="A25" s="71"/>
      <c r="B25" s="87"/>
      <c r="C25" s="87"/>
      <c r="D25" s="87"/>
      <c r="E25" s="87"/>
      <c r="F25" s="30"/>
      <c r="G25" s="32"/>
      <c r="H25" s="32"/>
      <c r="I25" s="32"/>
      <c r="J25" s="79"/>
      <c r="K25" s="80"/>
      <c r="L25" s="33"/>
      <c r="M25" s="34" t="str">
        <f t="shared" si="0"/>
        <v/>
      </c>
    </row>
    <row r="26" spans="1:13" x14ac:dyDescent="0.2">
      <c r="A26" s="72"/>
      <c r="B26" s="84"/>
      <c r="C26" s="84"/>
      <c r="D26" s="84"/>
      <c r="E26" s="84"/>
      <c r="F26" s="35"/>
      <c r="G26" s="32"/>
      <c r="H26" s="32"/>
      <c r="I26" s="32"/>
      <c r="J26" s="79"/>
      <c r="K26" s="80"/>
      <c r="L26" s="33"/>
      <c r="M26" s="34" t="str">
        <f t="shared" si="0"/>
        <v/>
      </c>
    </row>
    <row r="27" spans="1:13" x14ac:dyDescent="0.2">
      <c r="A27" s="72"/>
      <c r="B27" s="84"/>
      <c r="C27" s="84"/>
      <c r="D27" s="84"/>
      <c r="E27" s="84"/>
      <c r="F27" s="35"/>
      <c r="G27" s="32"/>
      <c r="H27" s="32"/>
      <c r="I27" s="32"/>
      <c r="J27" s="79"/>
      <c r="K27" s="80"/>
      <c r="L27" s="33"/>
      <c r="M27" s="34" t="str">
        <f t="shared" si="0"/>
        <v/>
      </c>
    </row>
    <row r="28" spans="1:13" x14ac:dyDescent="0.2">
      <c r="A28" s="72"/>
      <c r="B28" s="84"/>
      <c r="C28" s="84"/>
      <c r="D28" s="84"/>
      <c r="E28" s="84"/>
      <c r="F28" s="35"/>
      <c r="G28" s="32"/>
      <c r="H28" s="32"/>
      <c r="I28" s="32"/>
      <c r="J28" s="79"/>
      <c r="K28" s="80"/>
      <c r="L28" s="33"/>
      <c r="M28" s="34" t="str">
        <f t="shared" si="0"/>
        <v/>
      </c>
    </row>
    <row r="29" spans="1:13" x14ac:dyDescent="0.2">
      <c r="A29" s="72"/>
      <c r="B29" s="84"/>
      <c r="C29" s="84"/>
      <c r="D29" s="84"/>
      <c r="E29" s="84"/>
      <c r="F29" s="35"/>
      <c r="G29" s="32"/>
      <c r="H29" s="32"/>
      <c r="I29" s="32"/>
      <c r="J29" s="79"/>
      <c r="K29" s="80"/>
      <c r="L29" s="33"/>
      <c r="M29" s="34" t="str">
        <f t="shared" si="0"/>
        <v/>
      </c>
    </row>
    <row r="30" spans="1:13" x14ac:dyDescent="0.2">
      <c r="A30" s="72"/>
      <c r="B30" s="84"/>
      <c r="C30" s="84"/>
      <c r="D30" s="84"/>
      <c r="E30" s="84"/>
      <c r="F30" s="35"/>
      <c r="G30" s="32"/>
      <c r="H30" s="32"/>
      <c r="I30" s="32"/>
      <c r="J30" s="79"/>
      <c r="K30" s="80"/>
      <c r="L30" s="33"/>
      <c r="M30" s="34" t="str">
        <f t="shared" si="0"/>
        <v/>
      </c>
    </row>
    <row r="31" spans="1:13" x14ac:dyDescent="0.2">
      <c r="A31" s="72"/>
      <c r="B31" s="84"/>
      <c r="C31" s="84"/>
      <c r="D31" s="84"/>
      <c r="E31" s="84"/>
      <c r="F31" s="35"/>
      <c r="G31" s="32"/>
      <c r="H31" s="32"/>
      <c r="I31" s="32"/>
      <c r="J31" s="79"/>
      <c r="K31" s="80"/>
      <c r="L31" s="33"/>
      <c r="M31" s="34" t="str">
        <f t="shared" si="0"/>
        <v/>
      </c>
    </row>
    <row r="32" spans="1:13" x14ac:dyDescent="0.2">
      <c r="A32" s="72"/>
      <c r="B32" s="84"/>
      <c r="C32" s="84"/>
      <c r="D32" s="84"/>
      <c r="E32" s="84"/>
      <c r="F32" s="35"/>
      <c r="G32" s="32"/>
      <c r="H32" s="32"/>
      <c r="I32" s="32"/>
      <c r="J32" s="79"/>
      <c r="K32" s="80"/>
      <c r="L32" s="33"/>
      <c r="M32" s="34" t="str">
        <f t="shared" si="0"/>
        <v/>
      </c>
    </row>
    <row r="33" spans="1:13" x14ac:dyDescent="0.2">
      <c r="A33" s="72"/>
      <c r="B33" s="84"/>
      <c r="C33" s="84"/>
      <c r="D33" s="84"/>
      <c r="E33" s="84"/>
      <c r="F33" s="35"/>
      <c r="G33" s="32"/>
      <c r="H33" s="32"/>
      <c r="I33" s="32"/>
      <c r="J33" s="79"/>
      <c r="K33" s="80"/>
      <c r="L33" s="33"/>
      <c r="M33" s="34" t="str">
        <f t="shared" si="0"/>
        <v/>
      </c>
    </row>
    <row r="34" spans="1:13" x14ac:dyDescent="0.2">
      <c r="A34" s="72"/>
      <c r="B34" s="84"/>
      <c r="C34" s="84"/>
      <c r="D34" s="84"/>
      <c r="E34" s="84"/>
      <c r="F34" s="35"/>
      <c r="G34" s="32"/>
      <c r="H34" s="32"/>
      <c r="I34" s="32"/>
      <c r="J34" s="79"/>
      <c r="K34" s="80"/>
      <c r="L34" s="33"/>
      <c r="M34" s="34" t="str">
        <f t="shared" si="0"/>
        <v/>
      </c>
    </row>
    <row r="35" spans="1:13" ht="13.5" thickBot="1" x14ac:dyDescent="0.25">
      <c r="A35" s="73"/>
      <c r="B35" s="85"/>
      <c r="C35" s="85"/>
      <c r="D35" s="85"/>
      <c r="E35" s="85"/>
      <c r="F35" s="36"/>
      <c r="G35" s="37"/>
      <c r="H35" s="37"/>
      <c r="I35" s="37"/>
      <c r="J35" s="77"/>
      <c r="K35" s="78"/>
      <c r="L35" s="38"/>
      <c r="M35" s="34" t="str">
        <f t="shared" si="0"/>
        <v/>
      </c>
    </row>
    <row r="36" spans="1:13" ht="13.5" thickBot="1" x14ac:dyDescent="0.25">
      <c r="A36" s="81" t="s">
        <v>38</v>
      </c>
      <c r="B36" s="81"/>
      <c r="C36" s="81"/>
      <c r="D36" s="81"/>
      <c r="E36" s="81"/>
      <c r="F36" s="39" t="str">
        <f t="shared" ref="F36:K36" si="1">IF(SUM(F8:F35)&gt;0,SUM(F8:F35),"")</f>
        <v/>
      </c>
      <c r="G36" s="39">
        <f t="shared" si="1"/>
        <v>393.35</v>
      </c>
      <c r="H36" s="39" t="str">
        <f t="shared" si="1"/>
        <v/>
      </c>
      <c r="I36" s="39">
        <f t="shared" si="1"/>
        <v>239.98</v>
      </c>
      <c r="J36" s="40" t="str">
        <f t="shared" si="1"/>
        <v/>
      </c>
      <c r="K36" s="41" t="str">
        <f t="shared" si="1"/>
        <v/>
      </c>
      <c r="L36" s="39"/>
      <c r="M36" s="42">
        <f>IF(SUM(M8:M35)=SUM(F36:K36),SUM(M8:M35),0)</f>
        <v>633.32999999999993</v>
      </c>
    </row>
    <row r="37" spans="1:13" x14ac:dyDescent="0.2">
      <c r="A37" s="43"/>
      <c r="B37" s="44" t="s">
        <v>39</v>
      </c>
      <c r="C37" s="44" t="s">
        <v>23</v>
      </c>
      <c r="D37" s="21"/>
      <c r="E37" s="45"/>
      <c r="F37" s="46" t="s">
        <v>40</v>
      </c>
      <c r="G37" s="47"/>
      <c r="H37" s="48" t="s">
        <v>41</v>
      </c>
      <c r="I37" s="45"/>
      <c r="J37" s="45"/>
      <c r="K37" s="47"/>
      <c r="L37" s="49"/>
      <c r="M37" s="50"/>
    </row>
    <row r="38" spans="1:13" x14ac:dyDescent="0.2">
      <c r="A38" s="51" t="s">
        <v>42</v>
      </c>
      <c r="B38" s="44" t="s">
        <v>43</v>
      </c>
      <c r="C38" s="52">
        <v>100</v>
      </c>
      <c r="D38" s="53" t="s">
        <v>44</v>
      </c>
      <c r="E38" s="45"/>
      <c r="F38" s="54" t="s">
        <v>45</v>
      </c>
      <c r="G38" s="49"/>
      <c r="H38" s="49" t="s">
        <v>46</v>
      </c>
      <c r="I38" s="45"/>
      <c r="J38" s="45"/>
      <c r="K38" s="49"/>
      <c r="L38" s="49"/>
      <c r="M38" s="55"/>
    </row>
    <row r="39" spans="1:13" x14ac:dyDescent="0.2">
      <c r="A39" s="56"/>
      <c r="B39" s="57" t="s">
        <v>47</v>
      </c>
      <c r="C39" s="58">
        <v>50</v>
      </c>
      <c r="D39" s="59" t="s">
        <v>48</v>
      </c>
      <c r="E39" s="45"/>
      <c r="F39" s="46" t="s">
        <v>49</v>
      </c>
      <c r="G39" s="49"/>
      <c r="H39" s="49" t="s">
        <v>50</v>
      </c>
      <c r="I39" s="45"/>
      <c r="J39" s="45"/>
      <c r="K39" s="49"/>
      <c r="L39" s="49"/>
      <c r="M39" s="55"/>
    </row>
    <row r="40" spans="1:13" ht="13.5" thickBot="1" x14ac:dyDescent="0.25">
      <c r="A40" s="60"/>
      <c r="B40" s="61" t="s">
        <v>23</v>
      </c>
      <c r="C40" s="62">
        <v>150</v>
      </c>
      <c r="D40" s="63" t="s">
        <v>51</v>
      </c>
      <c r="E40" s="64"/>
      <c r="F40" s="65" t="s">
        <v>49</v>
      </c>
      <c r="G40" s="66"/>
      <c r="H40" s="67" t="s">
        <v>52</v>
      </c>
      <c r="I40" s="67"/>
      <c r="J40" s="67"/>
      <c r="K40" s="67"/>
      <c r="L40" s="68"/>
      <c r="M40" s="69"/>
    </row>
    <row r="41" spans="1:13" ht="13.5" thickTop="1" x14ac:dyDescent="0.2"/>
  </sheetData>
  <mergeCells count="65">
    <mergeCell ref="B2:C3"/>
    <mergeCell ref="F3:G3"/>
    <mergeCell ref="A6:A9"/>
    <mergeCell ref="B6:E9"/>
    <mergeCell ref="F6:F9"/>
    <mergeCell ref="G6:G9"/>
    <mergeCell ref="F5:H5"/>
    <mergeCell ref="H6:H9"/>
    <mergeCell ref="I6:I9"/>
    <mergeCell ref="J6:K9"/>
    <mergeCell ref="L6:L9"/>
    <mergeCell ref="M6:M9"/>
    <mergeCell ref="B10:E10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  <mergeCell ref="A36:E36"/>
    <mergeCell ref="J10:K10"/>
    <mergeCell ref="J11:K11"/>
    <mergeCell ref="J12:K12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34:K34"/>
    <mergeCell ref="J35:K35"/>
    <mergeCell ref="J29:K29"/>
    <mergeCell ref="J30:K30"/>
    <mergeCell ref="J31:K31"/>
    <mergeCell ref="J32:K32"/>
    <mergeCell ref="J33:K33"/>
  </mergeCells>
  <pageMargins left="0.25" right="0.25" top="0.5" bottom="0.37013888888888902" header="0.511811023622047" footer="0.511811023622047"/>
  <pageSetup orientation="landscape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Check Box 1">
              <controlPr defaultSize="0" autoFill="0" autoLine="0" autoPict="0" altText="Check Box 1">
                <anchor moveWithCells="1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Check Box 2">
              <controlPr defaultSize="0" autoFill="0" autoLine="0" autoPict="0" altText="Check Box 2">
                <anchor moveWithCells="1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General</vt:lpstr>
      <vt:lpstr>General!Print_Area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Gascon, David</cp:lastModifiedBy>
  <dcterms:created xsi:type="dcterms:W3CDTF">2026-09-01T04:11:39Z</dcterms:created>
  <dcterms:modified xsi:type="dcterms:W3CDTF">2026-09-01T04:55:22Z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1996-07-29T16:33:56Z</dcterms:created>
  <dc:creator>Employee of:</dc:creator>
  <dc:description/>
  <dc:language>en-US</dc:language>
  <cp:lastModifiedBy>Gascon, David</cp:lastModifiedBy>
  <cp:lastPrinted>2026-06-12T22:08:00Z</cp:lastPrinted>
  <dcterms:modified xsi:type="dcterms:W3CDTF">2026-06-12T22:19:32Z</dcterms:modified>
  <cp:revision>0</cp:revision>
  <dc:subject/>
  <dc:title/>
</cp:coreProperties>
</file>